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D:\Mauro\Sunset\src\main\resources\"/>
    </mc:Choice>
  </mc:AlternateContent>
  <xr:revisionPtr revIDLastSave="0" documentId="13_ncr:40009_{C65DAACE-CD97-46B6-A4DF-542CA0607B02}" xr6:coauthVersionLast="47" xr6:coauthVersionMax="47" xr10:uidLastSave="{00000000-0000-0000-0000-000000000000}"/>
  <bookViews>
    <workbookView xWindow="3870" yWindow="1290" windowWidth="21600" windowHeight="14580" activeTab="1"/>
  </bookViews>
  <sheets>
    <sheet name="sunrise" sheetId="1" r:id="rId1"/>
    <sheet name="solar_position" sheetId="2"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1" i="1" l="1"/>
  <c r="B14" i="1"/>
  <c r="B17" i="2"/>
  <c r="B17" i="1"/>
  <c r="B15" i="1"/>
  <c r="B20" i="1"/>
  <c r="B13" i="1"/>
  <c r="B16" i="2"/>
  <c r="B19" i="1"/>
  <c r="B16" i="1"/>
  <c r="B18" i="1"/>
</calcChain>
</file>

<file path=xl/sharedStrings.xml><?xml version="1.0" encoding="utf-8"?>
<sst xmlns="http://schemas.openxmlformats.org/spreadsheetml/2006/main" count="34" uniqueCount="26">
  <si>
    <t>year</t>
  </si>
  <si>
    <t>month</t>
  </si>
  <si>
    <t>day</t>
  </si>
  <si>
    <t>Input</t>
  </si>
  <si>
    <t>Output (local time in days)</t>
  </si>
  <si>
    <t>longitude in decimal degrees (negative for western hemisphere)</t>
  </si>
  <si>
    <t>latitude in decimal degrees (positive in northern hemisphere)</t>
  </si>
  <si>
    <t>daylight savings time (no= 0, yes= 1)</t>
  </si>
  <si>
    <t>time zone in hours relative to GMT/UTC (PST= -8, MST= -7, CST= -6, EST= -5)</t>
  </si>
  <si>
    <t>hours</t>
  </si>
  <si>
    <t>minutes</t>
  </si>
  <si>
    <t>seconds</t>
  </si>
  <si>
    <t>solar elevation (degrees from horizon)</t>
  </si>
  <si>
    <t>Output</t>
  </si>
  <si>
    <t>solar azimuth (degrees clockwise from north)</t>
  </si>
  <si>
    <t>Calculation of solar azimuth and elevation based on the calculation procedure by NOAA (http://www.srrb.noaa.gov/highlights/sunrise/azel.html)</t>
  </si>
  <si>
    <t>astronomical dawn (sun is 18 degrees below horizon)</t>
  </si>
  <si>
    <t>nautical dawn (sun is 12 degrees below horizon)</t>
  </si>
  <si>
    <t>civil dawn (sun is 6 degrees below horizon)</t>
  </si>
  <si>
    <t>civil dusk (sun is 6 degrees below horizon)</t>
  </si>
  <si>
    <t>nautical dusk (sun is 12 degrees below horizon)</t>
  </si>
  <si>
    <t>astronomical dusk (sun is 18 degrees below horizon)</t>
  </si>
  <si>
    <t>sunrise (sun is 0.833 degrees below horizon to account for refraction)</t>
  </si>
  <si>
    <t>solar noon (sun is at its highest point in the sky for this day)</t>
  </si>
  <si>
    <t>sunset (sun is 0.833 degrees below horizon to account for refraction)</t>
  </si>
  <si>
    <t>Calculation of local times of sunrise, solar noon, sunset, dawn, and dusk based on the calculation procedure by NOAA (http://www.srrb.noaa.gov/highlights/sunrise/sunrise.html)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</si>
</sst>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3" formatCode="[$-409]h:mm\ AM/PM;@"/>
    <numFmt numFmtId="176" formatCode="0.000"/>
  </numFmts>
  <fonts count="3" x14ac:knownFonts="1">
    <font>
      <sz val="10"/>
      <name val="Arial"/>
    </font>
    <font>
      <sz val="8"/>
      <name val="Arial"/>
      <family val="2"/>
    </font>
    <font>
      <b/>
      <sz val="10"/>
      <name val="Arial"/>
      <family val="2"/>
    </font>
  </fonts>
  <fills count="3">
    <fill>
      <patternFill patternType="none"/>
    </fill>
    <fill>
      <patternFill patternType="gray125"/>
    </fill>
    <fill>
      <patternFill patternType="solid">
        <fgColor indexed="22"/>
        <bgColor indexed="64"/>
      </patternFill>
    </fill>
  </fills>
  <borders count="2">
    <border>
      <left/>
      <right/>
      <top/>
      <bottom/>
      <diagonal/>
    </border>
    <border>
      <left/>
      <right/>
      <top/>
      <bottom style="thin">
        <color indexed="64"/>
      </bottom>
      <diagonal/>
    </border>
  </borders>
  <cellStyleXfs count="1">
    <xf numFmtId="0" fontId="0" fillId="0" borderId="0"/>
  </cellStyleXfs>
  <cellXfs count="13">
    <xf numFmtId="0" fontId="0" fillId="0" borderId="0" xfId="0"/>
    <xf numFmtId="0" fontId="0" fillId="0" borderId="0" xfId="0" applyAlignment="1">
      <alignment horizontal="left"/>
    </xf>
    <xf numFmtId="173" fontId="0" fillId="0" borderId="0" xfId="0" applyNumberFormat="1" applyAlignment="1">
      <alignment horizontal="left"/>
    </xf>
    <xf numFmtId="0" fontId="0" fillId="0" borderId="0" xfId="0" applyFill="1" applyAlignment="1">
      <alignment horizontal="left"/>
    </xf>
    <xf numFmtId="176" fontId="0" fillId="0" borderId="0" xfId="0" applyNumberFormat="1" applyFill="1" applyAlignment="1">
      <alignment horizontal="left"/>
    </xf>
    <xf numFmtId="173" fontId="0" fillId="0" borderId="0" xfId="0" applyNumberFormat="1" applyFill="1" applyAlignment="1">
      <alignment horizontal="left"/>
    </xf>
    <xf numFmtId="0" fontId="2" fillId="2" borderId="0" xfId="0" applyFont="1" applyFill="1" applyAlignment="1">
      <alignment horizontal="left"/>
    </xf>
    <xf numFmtId="0" fontId="0" fillId="2" borderId="0" xfId="0" applyFill="1" applyAlignment="1">
      <alignment horizontal="left"/>
    </xf>
    <xf numFmtId="0" fontId="0" fillId="0" borderId="1" xfId="0" applyBorder="1" applyAlignment="1">
      <alignment horizontal="left"/>
    </xf>
    <xf numFmtId="173" fontId="0" fillId="0" borderId="1" xfId="0" applyNumberFormat="1" applyBorder="1" applyAlignment="1">
      <alignment horizontal="left"/>
    </xf>
    <xf numFmtId="2" fontId="0" fillId="0" borderId="0" xfId="0" quotePrefix="1" applyNumberFormat="1" applyFill="1" applyAlignment="1">
      <alignment horizontal="left"/>
    </xf>
    <xf numFmtId="0" fontId="2" fillId="0" borderId="0" xfId="0" applyFont="1" applyAlignment="1">
      <alignment horizontal="center" wrapText="1"/>
    </xf>
    <xf numFmtId="0" fontId="2" fillId="0" borderId="0" xfId="0" applyFont="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0</xdr:col>
      <xdr:colOff>200025</xdr:colOff>
      <xdr:row>23</xdr:row>
      <xdr:rowOff>95250</xdr:rowOff>
    </xdr:from>
    <xdr:to>
      <xdr:col>1</xdr:col>
      <xdr:colOff>657225</xdr:colOff>
      <xdr:row>79</xdr:row>
      <xdr:rowOff>123825</xdr:rowOff>
    </xdr:to>
    <xdr:sp macro="" textlink="">
      <xdr:nvSpPr>
        <xdr:cNvPr id="1025" name="Text Box 1">
          <a:extLst>
            <a:ext uri="{FF2B5EF4-FFF2-40B4-BE49-F238E27FC236}">
              <a16:creationId xmlns:a16="http://schemas.microsoft.com/office/drawing/2014/main" id="{FC78B017-6A8A-4073-B632-1A6A04C1024F}"/>
            </a:ext>
          </a:extLst>
        </xdr:cNvPr>
        <xdr:cNvSpPr txBox="1">
          <a:spLocks noChangeArrowheads="1"/>
        </xdr:cNvSpPr>
      </xdr:nvSpPr>
      <xdr:spPr bwMode="auto">
        <a:xfrm>
          <a:off x="200025" y="4229100"/>
          <a:ext cx="5172075" cy="90963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1" u="none" strike="noStrike" baseline="0">
              <a:solidFill>
                <a:srgbClr val="000000"/>
              </a:solidFill>
              <a:latin typeface="Arial"/>
              <a:cs typeface="Arial"/>
            </a:rPr>
            <a:t>NOTE: Seven functions are available for use from Excel worksheets:</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   - dawn(lat, lon, year, month, day, timezone, dlstime, solardepression)</a:t>
          </a:r>
        </a:p>
        <a:p>
          <a:pPr algn="l" rtl="0">
            <a:defRPr sz="1000"/>
          </a:pPr>
          <a:r>
            <a:rPr lang="en-US" sz="1000" b="0" i="1" u="none" strike="noStrike" baseline="0">
              <a:solidFill>
                <a:srgbClr val="000000"/>
              </a:solidFill>
              <a:latin typeface="Arial"/>
              <a:cs typeface="Arial"/>
            </a:rPr>
            <a:t>   - sunrise(lat, lon, year, month, day, timezone, dlstime)</a:t>
          </a:r>
        </a:p>
        <a:p>
          <a:pPr algn="l" rtl="0">
            <a:defRPr sz="1000"/>
          </a:pPr>
          <a:r>
            <a:rPr lang="en-US" sz="1000" b="0" i="1" u="none" strike="noStrike" baseline="0">
              <a:solidFill>
                <a:srgbClr val="000000"/>
              </a:solidFill>
              <a:latin typeface="Arial"/>
              <a:cs typeface="Arial"/>
            </a:rPr>
            <a:t>   - solarnoon(lat, lon, year, month, day, timezone, dlstime)</a:t>
          </a:r>
        </a:p>
        <a:p>
          <a:pPr algn="l" rtl="0">
            <a:defRPr sz="1000"/>
          </a:pPr>
          <a:r>
            <a:rPr lang="en-US" sz="1000" b="0" i="1" u="none" strike="noStrike" baseline="0">
              <a:solidFill>
                <a:srgbClr val="000000"/>
              </a:solidFill>
              <a:latin typeface="Arial"/>
              <a:cs typeface="Arial"/>
            </a:rPr>
            <a:t>   - sunset(lat, lon, year, month, day, timezone, dlstime)</a:t>
          </a:r>
        </a:p>
        <a:p>
          <a:pPr algn="l" rtl="0">
            <a:defRPr sz="1000"/>
          </a:pPr>
          <a:r>
            <a:rPr lang="en-US" sz="1000" b="0" i="1" u="none" strike="noStrike" baseline="0">
              <a:solidFill>
                <a:srgbClr val="000000"/>
              </a:solidFill>
              <a:latin typeface="Arial"/>
              <a:cs typeface="Arial"/>
            </a:rPr>
            <a:t>   - dusk(lat, lon, year, month, day, timezone, dlstime, solardepression)</a:t>
          </a:r>
        </a:p>
        <a:p>
          <a:pPr algn="l" rtl="0">
            <a:defRPr sz="1000"/>
          </a:pPr>
          <a:r>
            <a:rPr lang="en-US" sz="1000" b="0" i="1" u="none" strike="noStrike" baseline="0">
              <a:solidFill>
                <a:srgbClr val="000000"/>
              </a:solidFill>
              <a:latin typeface="Arial"/>
              <a:cs typeface="Arial"/>
            </a:rPr>
            <a:t>   - solarazimuth(lat, lon, year, month, day, hour, minute, second, timezone, dlstime)</a:t>
          </a:r>
        </a:p>
        <a:p>
          <a:pPr algn="l" rtl="0">
            <a:defRPr sz="1000"/>
          </a:pPr>
          <a:r>
            <a:rPr lang="en-US" sz="1000" b="0" i="1" u="none" strike="noStrike" baseline="0">
              <a:solidFill>
                <a:srgbClr val="000000"/>
              </a:solidFill>
              <a:latin typeface="Arial"/>
              <a:cs typeface="Arial"/>
            </a:rPr>
            <a:t>   - solarelevation(lat, lon, year, month, day, hour, minute, second, timezone, dlstime)</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where</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   lat = latidude in degrees</a:t>
          </a:r>
        </a:p>
        <a:p>
          <a:pPr algn="l" rtl="0">
            <a:defRPr sz="1000"/>
          </a:pPr>
          <a:r>
            <a:rPr lang="en-US" sz="1000" b="0" i="1" u="none" strike="noStrike" baseline="0">
              <a:solidFill>
                <a:srgbClr val="000000"/>
              </a:solidFill>
              <a:latin typeface="Arial"/>
              <a:cs typeface="Arial"/>
            </a:rPr>
            <a:t>   lon = longitude in degrees</a:t>
          </a:r>
        </a:p>
        <a:p>
          <a:pPr algn="l" rtl="0">
            <a:defRPr sz="1000"/>
          </a:pPr>
          <a:r>
            <a:rPr lang="en-US" sz="1000" b="0" i="1" u="none" strike="noStrike" baseline="0">
              <a:solidFill>
                <a:srgbClr val="000000"/>
              </a:solidFill>
              <a:latin typeface="Arial"/>
              <a:cs typeface="Arial"/>
            </a:rPr>
            <a:t>   timezone = time zone in hours relative to GMT/UTC</a:t>
          </a:r>
        </a:p>
        <a:p>
          <a:pPr algn="l" rtl="0">
            <a:defRPr sz="1000"/>
          </a:pPr>
          <a:r>
            <a:rPr lang="en-US" sz="1000" b="0" i="1" u="none" strike="noStrike" baseline="0">
              <a:solidFill>
                <a:srgbClr val="000000"/>
              </a:solidFill>
              <a:latin typeface="Arial"/>
              <a:cs typeface="Arial"/>
            </a:rPr>
            <a:t>   dlstime = daylight savings time hours </a:t>
          </a:r>
        </a:p>
        <a:p>
          <a:pPr algn="l" rtl="0">
            <a:defRPr sz="1000"/>
          </a:pPr>
          <a:r>
            <a:rPr lang="en-US" sz="1000" b="0" i="1" u="none" strike="noStrike" baseline="0">
              <a:solidFill>
                <a:srgbClr val="000000"/>
              </a:solidFill>
              <a:latin typeface="Arial"/>
              <a:cs typeface="Arial"/>
            </a:rPr>
            <a:t>                 (0 for no daylight savings, or 1 for yes daylight savings)</a:t>
          </a:r>
        </a:p>
        <a:p>
          <a:pPr algn="l" rtl="0">
            <a:defRPr sz="1000"/>
          </a:pPr>
          <a:r>
            <a:rPr lang="en-US" sz="1000" b="0" i="1" u="none" strike="noStrike" baseline="0">
              <a:solidFill>
                <a:srgbClr val="000000"/>
              </a:solidFill>
              <a:latin typeface="Arial"/>
              <a:cs typeface="Arial"/>
            </a:rPr>
            <a:t>   solardepression = angle of the sun below the horizon in degrees </a:t>
          </a:r>
        </a:p>
        <a:p>
          <a:pPr algn="l" rtl="0">
            <a:defRPr sz="1000"/>
          </a:pPr>
          <a:r>
            <a:rPr lang="en-US" sz="1000" b="0" i="1" u="none" strike="noStrike" baseline="0">
              <a:solidFill>
                <a:srgbClr val="000000"/>
              </a:solidFill>
              <a:latin typeface="Arial"/>
              <a:cs typeface="Arial"/>
            </a:rPr>
            <a:t>                 for calculation of time of dawn and dusk</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The sign convention for inputs to the functions named sunrise, solarnoon, sunset, dawn, dusk, solarazimuth, and solarelevation is:</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   - positive latitude decimal degrees for northern hemisphere</a:t>
          </a:r>
        </a:p>
        <a:p>
          <a:pPr algn="l" rtl="0">
            <a:defRPr sz="1000"/>
          </a:pPr>
          <a:r>
            <a:rPr lang="en-US" sz="1000" b="0" i="1" u="none" strike="noStrike" baseline="0">
              <a:solidFill>
                <a:srgbClr val="000000"/>
              </a:solidFill>
              <a:latin typeface="Arial"/>
              <a:cs typeface="Arial"/>
            </a:rPr>
            <a:t>   - negative longitude degrees for western hemisphere</a:t>
          </a:r>
        </a:p>
        <a:p>
          <a:pPr algn="l" rtl="0">
            <a:defRPr sz="1000"/>
          </a:pPr>
          <a:r>
            <a:rPr lang="en-US" sz="1000" b="0" i="1" u="none" strike="noStrike" baseline="0">
              <a:solidFill>
                <a:srgbClr val="000000"/>
              </a:solidFill>
              <a:latin typeface="Arial"/>
              <a:cs typeface="Arial"/>
            </a:rPr>
            <a:t>   - negative time zone hours for western hemisphere</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The other functions in the VBA module use the original NOAA sign convention of positive longitude in the western hemisphere.</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The calculations in the NOAA Sunrise/Sunset and Solar Position Calculators are based on equations from Astronomical Algorithms, by Jean Meeus. NOAA also included atmospheric refraction effects. The sunrise and sunset results were reported by NOAA to be accurate to within +/- 1 minute for locations between +/- 72° latitude, and within ten minutes outside of those latitudes.</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This Excel VBA translation was tested for selected locations and found to provide results within +/- 1 minute of the original NOAA Javascript code.</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For sunrise and sunset calculations, we assume 0.833° of atmospheric refraction. In the solar position functions, atmospheric refraction is modeled using equations documented at http://www.srrb.noaa.gov/highlights/sunrise/calcdetails.html</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This VBA translation does not include calculation of prior or next susets for locations above the Arctic Circle and below the Antarctic Circle, when a sunrise or sunset does not occur.</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Translated from NOAA's Javascript to Excel VBA by:</a:t>
          </a:r>
        </a:p>
        <a:p>
          <a:pPr algn="l" rtl="0">
            <a:defRPr sz="1000"/>
          </a:pPr>
          <a:endParaRPr lang="en-US" sz="1000" b="0" i="1" u="none" strike="noStrike" baseline="0">
            <a:solidFill>
              <a:srgbClr val="000000"/>
            </a:solidFill>
            <a:latin typeface="Arial"/>
            <a:cs typeface="Arial"/>
          </a:endParaRPr>
        </a:p>
        <a:p>
          <a:pPr algn="l" rtl="0">
            <a:defRPr sz="1000"/>
          </a:pPr>
          <a:r>
            <a:rPr lang="en-US" sz="1000" b="0" i="1" u="none" strike="noStrike" baseline="0">
              <a:solidFill>
                <a:srgbClr val="000000"/>
              </a:solidFill>
              <a:latin typeface="Arial"/>
              <a:cs typeface="Arial"/>
            </a:rPr>
            <a:t>Greg Pelletier</a:t>
          </a:r>
        </a:p>
        <a:p>
          <a:pPr algn="l" rtl="0">
            <a:defRPr sz="1000"/>
          </a:pPr>
          <a:r>
            <a:rPr lang="en-US" sz="1000" b="0" i="1" u="none" strike="noStrike" baseline="0">
              <a:solidFill>
                <a:srgbClr val="000000"/>
              </a:solidFill>
              <a:latin typeface="Arial"/>
              <a:cs typeface="Arial"/>
            </a:rPr>
            <a:t>Department of Ecology</a:t>
          </a:r>
        </a:p>
        <a:p>
          <a:pPr algn="l" rtl="0">
            <a:defRPr sz="1000"/>
          </a:pPr>
          <a:r>
            <a:rPr lang="en-US" sz="1000" b="0" i="1" u="none" strike="noStrike" baseline="0">
              <a:solidFill>
                <a:srgbClr val="000000"/>
              </a:solidFill>
              <a:latin typeface="Arial"/>
              <a:cs typeface="Arial"/>
            </a:rPr>
            <a:t>P.O. Box 47710</a:t>
          </a:r>
        </a:p>
        <a:p>
          <a:pPr algn="l" rtl="0">
            <a:defRPr sz="1000"/>
          </a:pPr>
          <a:r>
            <a:rPr lang="en-US" sz="1000" b="0" i="1" u="none" strike="noStrike" baseline="0">
              <a:solidFill>
                <a:srgbClr val="000000"/>
              </a:solidFill>
              <a:latin typeface="Arial"/>
              <a:cs typeface="Arial"/>
            </a:rPr>
            <a:t>Olympia, WA 98504-7710</a:t>
          </a:r>
        </a:p>
        <a:p>
          <a:pPr algn="l" rtl="0">
            <a:defRPr sz="1000"/>
          </a:pPr>
          <a:r>
            <a:rPr lang="en-US" sz="1000" b="0" i="1" u="none" strike="noStrike" baseline="0">
              <a:solidFill>
                <a:srgbClr val="000000"/>
              </a:solidFill>
              <a:latin typeface="Arial"/>
              <a:cs typeface="Arial"/>
            </a:rPr>
            <a:t>phone: 360-407-6485</a:t>
          </a:r>
        </a:p>
        <a:p>
          <a:pPr algn="l" rtl="0">
            <a:defRPr sz="1000"/>
          </a:pPr>
          <a:r>
            <a:rPr lang="en-US" sz="1000" b="0" i="1" u="none" strike="noStrike" baseline="0">
              <a:solidFill>
                <a:srgbClr val="000000"/>
              </a:solidFill>
              <a:latin typeface="Arial"/>
              <a:cs typeface="Arial"/>
            </a:rPr>
            <a:t>fax: 360-407-6884</a:t>
          </a:r>
        </a:p>
        <a:p>
          <a:pPr algn="l" rtl="0">
            <a:defRPr sz="1000"/>
          </a:pPr>
          <a:r>
            <a:rPr lang="en-US" sz="1000" b="0" i="1" u="none" strike="noStrike" baseline="0">
              <a:solidFill>
                <a:srgbClr val="000000"/>
              </a:solidFill>
              <a:latin typeface="Arial"/>
              <a:cs typeface="Arial"/>
            </a:rPr>
            <a:t>e-mail: gpel461@ecy.wa.gov</a:t>
          </a:r>
        </a:p>
        <a:p>
          <a:pPr algn="l" rtl="0">
            <a:defRPr sz="1000"/>
          </a:pPr>
          <a:endParaRPr lang="en-US" sz="1000" b="0" i="1" u="none" strike="noStrike" baseline="0">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22"/>
  <sheetViews>
    <sheetView showGridLines="0" workbookViewId="0">
      <selection activeCell="B13" sqref="B13"/>
    </sheetView>
  </sheetViews>
  <sheetFormatPr defaultRowHeight="12.75" x14ac:dyDescent="0.2"/>
  <cols>
    <col min="1" max="1" width="70.7109375" style="1" customWidth="1"/>
    <col min="2" max="4" width="12.7109375" style="1" customWidth="1"/>
    <col min="5" max="16384" width="9.140625" style="1"/>
  </cols>
  <sheetData>
    <row r="1" spans="1:2" ht="45" customHeight="1" x14ac:dyDescent="0.2">
      <c r="A1" s="11" t="s">
        <v>25</v>
      </c>
      <c r="B1" s="11"/>
    </row>
    <row r="3" spans="1:2" x14ac:dyDescent="0.2">
      <c r="A3" s="6" t="s">
        <v>3</v>
      </c>
      <c r="B3" s="7"/>
    </row>
    <row r="4" spans="1:2" x14ac:dyDescent="0.2">
      <c r="A4" s="3" t="s">
        <v>6</v>
      </c>
      <c r="B4" s="4">
        <v>45.65</v>
      </c>
    </row>
    <row r="5" spans="1:2" x14ac:dyDescent="0.2">
      <c r="A5" s="3" t="s">
        <v>5</v>
      </c>
      <c r="B5" s="4">
        <v>12.19</v>
      </c>
    </row>
    <row r="6" spans="1:2" x14ac:dyDescent="0.2">
      <c r="A6" s="3" t="s">
        <v>0</v>
      </c>
      <c r="B6" s="3">
        <v>2022</v>
      </c>
    </row>
    <row r="7" spans="1:2" x14ac:dyDescent="0.2">
      <c r="A7" s="3" t="s">
        <v>1</v>
      </c>
      <c r="B7" s="3">
        <v>12</v>
      </c>
    </row>
    <row r="8" spans="1:2" x14ac:dyDescent="0.2">
      <c r="A8" s="3" t="s">
        <v>2</v>
      </c>
      <c r="B8" s="3">
        <v>25</v>
      </c>
    </row>
    <row r="9" spans="1:2" x14ac:dyDescent="0.2">
      <c r="A9" s="3" t="s">
        <v>8</v>
      </c>
      <c r="B9" s="3">
        <v>0</v>
      </c>
    </row>
    <row r="10" spans="1:2" x14ac:dyDescent="0.2">
      <c r="A10" s="3" t="s">
        <v>7</v>
      </c>
      <c r="B10" s="3">
        <v>0</v>
      </c>
    </row>
    <row r="11" spans="1:2" x14ac:dyDescent="0.2">
      <c r="A11" s="3"/>
      <c r="B11" s="3"/>
    </row>
    <row r="12" spans="1:2" x14ac:dyDescent="0.2">
      <c r="A12" s="6" t="s">
        <v>4</v>
      </c>
      <c r="B12" s="7"/>
    </row>
    <row r="13" spans="1:2" x14ac:dyDescent="0.2">
      <c r="A13" s="3" t="s">
        <v>16</v>
      </c>
      <c r="B13" s="5">
        <f>dawn(B4,B5,B6,B7,B8,B9,B10,18)</f>
        <v>0.20987436843900856</v>
      </c>
    </row>
    <row r="14" spans="1:2" x14ac:dyDescent="0.2">
      <c r="A14" s="3" t="s">
        <v>17</v>
      </c>
      <c r="B14" s="5">
        <f>dawn(B4,B5,B6,B7,B8,B9,B10,12)</f>
        <v>0.23500128825047667</v>
      </c>
    </row>
    <row r="15" spans="1:2" x14ac:dyDescent="0.2">
      <c r="A15" s="3" t="s">
        <v>18</v>
      </c>
      <c r="B15" s="5">
        <f>dawn(B4,B5,B6,B7,B8,B9,B10,6)</f>
        <v>0.26120417202119406</v>
      </c>
    </row>
    <row r="16" spans="1:2" x14ac:dyDescent="0.2">
      <c r="A16" s="3" t="s">
        <v>22</v>
      </c>
      <c r="B16" s="5">
        <f>sunrise(B4,B5,B6,B7,B8,B9,B10)</f>
        <v>0.28506440312555525</v>
      </c>
    </row>
    <row r="17" spans="1:3" x14ac:dyDescent="0.2">
      <c r="A17" s="3" t="s">
        <v>23</v>
      </c>
      <c r="B17" s="5">
        <f>solarnoon(B4,B5,B6,B7,B8,B9,B10)</f>
        <v>0.46616448616212874</v>
      </c>
      <c r="C17" s="2"/>
    </row>
    <row r="18" spans="1:3" x14ac:dyDescent="0.2">
      <c r="A18" s="3" t="s">
        <v>24</v>
      </c>
      <c r="B18" s="5">
        <f>sunset(B4,B5,B6,B7,B8,B9,B10)</f>
        <v>0.6473017456764395</v>
      </c>
    </row>
    <row r="19" spans="1:3" x14ac:dyDescent="0.2">
      <c r="A19" s="3" t="s">
        <v>19</v>
      </c>
      <c r="B19" s="5">
        <f>dusk(B4,B5,B6,B7,B8,B9,B10,6)</f>
        <v>0.67115816091193947</v>
      </c>
    </row>
    <row r="20" spans="1:3" x14ac:dyDescent="0.2">
      <c r="A20" s="3" t="s">
        <v>20</v>
      </c>
      <c r="B20" s="5">
        <f>dusk(B4,B5,B6,B7,B8,B9,B10,12)</f>
        <v>0.6973579650483247</v>
      </c>
    </row>
    <row r="21" spans="1:3" x14ac:dyDescent="0.2">
      <c r="A21" s="3" t="s">
        <v>21</v>
      </c>
      <c r="B21" s="5">
        <f>dusk(B4,B5,B6,B7,B8,B9,B10,18)</f>
        <v>0.72248277718515386</v>
      </c>
    </row>
    <row r="22" spans="1:3" x14ac:dyDescent="0.2">
      <c r="A22" s="8"/>
      <c r="B22" s="9"/>
    </row>
  </sheetData>
  <phoneticPr fontId="1" type="noConversion"/>
  <printOptions horizontalCentered="1" verticalCentered="1"/>
  <pageMargins left="0.75" right="0.75" top="1" bottom="1" header="0.5" footer="0.5"/>
  <pageSetup scale="85" orientation="portrait" r:id="rId1"/>
  <headerFooter alignWithMargins="0">
    <oddFooter>&amp;C&amp;F, &amp;D</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18"/>
  <sheetViews>
    <sheetView showGridLines="0" tabSelected="1" workbookViewId="0">
      <selection activeCell="B8" sqref="B8"/>
    </sheetView>
  </sheetViews>
  <sheetFormatPr defaultRowHeight="12.75" x14ac:dyDescent="0.2"/>
  <cols>
    <col min="1" max="1" width="70.7109375" style="1" customWidth="1"/>
    <col min="2" max="2" width="12.7109375" style="1" customWidth="1"/>
    <col min="3" max="16384" width="9.140625" style="1"/>
  </cols>
  <sheetData>
    <row r="1" spans="1:2" ht="45" customHeight="1" x14ac:dyDescent="0.2">
      <c r="A1" s="12" t="s">
        <v>15</v>
      </c>
      <c r="B1" s="12"/>
    </row>
    <row r="3" spans="1:2" x14ac:dyDescent="0.2">
      <c r="A3" s="6" t="s">
        <v>3</v>
      </c>
      <c r="B3" s="7"/>
    </row>
    <row r="4" spans="1:2" x14ac:dyDescent="0.2">
      <c r="A4" s="3" t="s">
        <v>6</v>
      </c>
      <c r="B4" s="4">
        <v>45.65</v>
      </c>
    </row>
    <row r="5" spans="1:2" x14ac:dyDescent="0.2">
      <c r="A5" s="3" t="s">
        <v>5</v>
      </c>
      <c r="B5" s="4">
        <v>12.19</v>
      </c>
    </row>
    <row r="6" spans="1:2" x14ac:dyDescent="0.2">
      <c r="A6" s="3" t="s">
        <v>0</v>
      </c>
      <c r="B6" s="3">
        <v>2022</v>
      </c>
    </row>
    <row r="7" spans="1:2" x14ac:dyDescent="0.2">
      <c r="A7" s="3" t="s">
        <v>1</v>
      </c>
      <c r="B7" s="3">
        <v>12</v>
      </c>
    </row>
    <row r="8" spans="1:2" x14ac:dyDescent="0.2">
      <c r="A8" s="3" t="s">
        <v>2</v>
      </c>
      <c r="B8" s="3">
        <v>25</v>
      </c>
    </row>
    <row r="9" spans="1:2" x14ac:dyDescent="0.2">
      <c r="A9" s="3" t="s">
        <v>9</v>
      </c>
      <c r="B9" s="3">
        <v>13</v>
      </c>
    </row>
    <row r="10" spans="1:2" x14ac:dyDescent="0.2">
      <c r="A10" s="3" t="s">
        <v>10</v>
      </c>
      <c r="B10" s="3">
        <v>11</v>
      </c>
    </row>
    <row r="11" spans="1:2" x14ac:dyDescent="0.2">
      <c r="A11" s="3" t="s">
        <v>11</v>
      </c>
      <c r="B11" s="3">
        <v>0</v>
      </c>
    </row>
    <row r="12" spans="1:2" x14ac:dyDescent="0.2">
      <c r="A12" s="3" t="s">
        <v>8</v>
      </c>
      <c r="B12" s="3">
        <v>0</v>
      </c>
    </row>
    <row r="13" spans="1:2" x14ac:dyDescent="0.2">
      <c r="A13" s="3" t="s">
        <v>7</v>
      </c>
      <c r="B13" s="3">
        <v>0</v>
      </c>
    </row>
    <row r="14" spans="1:2" x14ac:dyDescent="0.2">
      <c r="A14" s="3"/>
      <c r="B14" s="3"/>
    </row>
    <row r="15" spans="1:2" x14ac:dyDescent="0.2">
      <c r="A15" s="6" t="s">
        <v>13</v>
      </c>
      <c r="B15" s="7"/>
    </row>
    <row r="16" spans="1:2" x14ac:dyDescent="0.2">
      <c r="A16" s="3" t="s">
        <v>14</v>
      </c>
      <c r="B16" s="10">
        <f>solarazimuth(B4,B5,B6,B7,B8,B9,B10,B11,B12,B13)</f>
        <v>208.4112430790754</v>
      </c>
    </row>
    <row r="17" spans="1:2" x14ac:dyDescent="0.2">
      <c r="A17" s="3" t="s">
        <v>12</v>
      </c>
      <c r="B17" s="10">
        <f>solarelevation(B4,B5,B6,B7,B8,B9,B10,B11,B12,B13)</f>
        <v>15.85526376663401</v>
      </c>
    </row>
    <row r="18" spans="1:2" x14ac:dyDescent="0.2">
      <c r="A18" s="8"/>
      <c r="B18" s="9"/>
    </row>
  </sheetData>
  <mergeCells count="1">
    <mergeCell ref="A1:B1"/>
  </mergeCells>
  <phoneticPr fontId="1" type="noConversion"/>
  <printOptions horizontalCentered="1" verticalCentered="1"/>
  <pageMargins left="0.75" right="0.75" top="1" bottom="1" header="0.5" footer="0.5"/>
  <pageSetup scale="85" orientation="portrait" r:id="rId1"/>
  <headerFooter alignWithMargins="0">
    <oddFooter>&amp;C&amp;F, &amp;D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sunrise</vt:lpstr>
      <vt:lpstr>solar_position</vt:lpstr>
    </vt:vector>
  </TitlesOfParts>
  <Company>Department of Ecology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State of Washington</dc:creator>
  <cp:lastModifiedBy>utente</cp:lastModifiedBy>
  <cp:lastPrinted>2002-04-30T18:56:28Z</cp:lastPrinted>
  <dcterms:created xsi:type="dcterms:W3CDTF">2002-04-28T23:13:29Z</dcterms:created>
  <dcterms:modified xsi:type="dcterms:W3CDTF">2022-02-02T16:42:41Z</dcterms:modified>
</cp:coreProperties>
</file>